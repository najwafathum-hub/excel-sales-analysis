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D:\Najwa\"/>
    </mc:Choice>
  </mc:AlternateContent>
  <xr:revisionPtr revIDLastSave="0" documentId="13_ncr:1_{F01B5F3A-8586-43B9-8162-71B61A6C8263}" xr6:coauthVersionLast="36" xr6:coauthVersionMax="36" xr10:uidLastSave="{00000000-0000-0000-0000-000000000000}"/>
  <bookViews>
    <workbookView xWindow="0" yWindow="0" windowWidth="20490" windowHeight="7425" activeTab="1" xr2:uid="{9A39A671-E33D-4C68-978F-8AD3FC65CE85}"/>
  </bookViews>
  <sheets>
    <sheet name="Analysis" sheetId="4" r:id="rId1"/>
    <sheet name="Pivot Table" sheetId="6" r:id="rId2"/>
    <sheet name="Sales Data" sheetId="2" r:id="rId3"/>
  </sheets>
  <definedNames>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8" i="4" l="1"/>
  <c r="C17" i="4"/>
  <c r="C16" i="4"/>
  <c r="C15" i="4"/>
  <c r="B18" i="4"/>
  <c r="B17" i="4"/>
  <c r="B16" i="4"/>
  <c r="B15" i="4"/>
  <c r="E22" i="4"/>
  <c r="D22" i="4"/>
  <c r="C22" i="4"/>
  <c r="B22" i="4"/>
  <c r="A22" i="4"/>
  <c r="E8" i="4"/>
  <c r="D8" i="4"/>
  <c r="B12" i="4"/>
  <c r="D12" i="4"/>
  <c r="C12" i="4"/>
  <c r="A12" i="4"/>
  <c r="B8" i="4"/>
  <c r="B7" i="4"/>
  <c r="B6" i="4"/>
  <c r="B5" i="4"/>
  <c r="B4" i="4"/>
  <c r="B3" i="4"/>
  <c r="D4" i="4" s="1"/>
  <c r="I2" i="2"/>
  <c r="I3" i="2"/>
  <c r="I4" i="2"/>
  <c r="I5" i="2"/>
  <c r="I6" i="2"/>
  <c r="I7" i="2"/>
  <c r="I8" i="2"/>
  <c r="I9" i="2"/>
  <c r="I10" i="2"/>
  <c r="I11" i="2"/>
  <c r="I12" i="2"/>
  <c r="I13" i="2"/>
  <c r="I14" i="2"/>
  <c r="I15" i="2"/>
  <c r="I16" i="2"/>
  <c r="E4" i="4" l="1"/>
</calcChain>
</file>

<file path=xl/sharedStrings.xml><?xml version="1.0" encoding="utf-8"?>
<sst xmlns="http://schemas.openxmlformats.org/spreadsheetml/2006/main" count="129" uniqueCount="67">
  <si>
    <t>Date</t>
  </si>
  <si>
    <t>Order_ID</t>
  </si>
  <si>
    <t>Customer</t>
  </si>
  <si>
    <t>Product</t>
  </si>
  <si>
    <t>Category</t>
  </si>
  <si>
    <t>Region</t>
  </si>
  <si>
    <t>Quantity</t>
  </si>
  <si>
    <t>Unit_Price</t>
  </si>
  <si>
    <t>Sales</t>
  </si>
  <si>
    <t>ORD001</t>
  </si>
  <si>
    <t>Andi</t>
  </si>
  <si>
    <t>Laptop</t>
  </si>
  <si>
    <t>Electronics</t>
  </si>
  <si>
    <t>West</t>
  </si>
  <si>
    <t>ORD002</t>
  </si>
  <si>
    <t>Budi</t>
  </si>
  <si>
    <t>Mouse</t>
  </si>
  <si>
    <t>Accessories</t>
  </si>
  <si>
    <t>East</t>
  </si>
  <si>
    <t>ORD003</t>
  </si>
  <si>
    <t>Citra</t>
  </si>
  <si>
    <t>Keyboard</t>
  </si>
  <si>
    <t>South</t>
  </si>
  <si>
    <t>ORD004</t>
  </si>
  <si>
    <t>Dewi</t>
  </si>
  <si>
    <t>Monitor</t>
  </si>
  <si>
    <t>ORD005</t>
  </si>
  <si>
    <t>Eko</t>
  </si>
  <si>
    <t>North</t>
  </si>
  <si>
    <t>ORD006</t>
  </si>
  <si>
    <t>Fajar</t>
  </si>
  <si>
    <t>Headset</t>
  </si>
  <si>
    <t>ORD007</t>
  </si>
  <si>
    <t>Gina</t>
  </si>
  <si>
    <t>Printer</t>
  </si>
  <si>
    <t>ORD008</t>
  </si>
  <si>
    <t>Hani</t>
  </si>
  <si>
    <t>ORD009</t>
  </si>
  <si>
    <t>Ivan</t>
  </si>
  <si>
    <t>ORD010</t>
  </si>
  <si>
    <t>Joko</t>
  </si>
  <si>
    <t>ORD011</t>
  </si>
  <si>
    <t>Karin</t>
  </si>
  <si>
    <t>ORD012</t>
  </si>
  <si>
    <t>Lina</t>
  </si>
  <si>
    <t>ORD013</t>
  </si>
  <si>
    <t>Made</t>
  </si>
  <si>
    <t>ORD014</t>
  </si>
  <si>
    <t>Nina</t>
  </si>
  <si>
    <t>ORD015</t>
  </si>
  <si>
    <t>Oki</t>
  </si>
  <si>
    <t>Total Sales</t>
  </si>
  <si>
    <t>Sales Analysis</t>
  </si>
  <si>
    <t>Average Sales per Order</t>
  </si>
  <si>
    <t xml:space="preserve">Highest Sales </t>
  </si>
  <si>
    <t>Lowest Sales</t>
  </si>
  <si>
    <t>Total Transactions</t>
  </si>
  <si>
    <t>Total Quantity Sold</t>
  </si>
  <si>
    <t>Sales Classification</t>
  </si>
  <si>
    <t>Sales Level</t>
  </si>
  <si>
    <t>Target Status</t>
  </si>
  <si>
    <t>Sales by Region</t>
  </si>
  <si>
    <t xml:space="preserve">West </t>
  </si>
  <si>
    <t>Sales by Category</t>
  </si>
  <si>
    <t>Product Count</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</si>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</sst>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0"/>
  </numFmts>
  <fonts count="3" x14ac:knownFonts="1">
    <font>
      <sz val="11"/>
      <color theme="1"/>
      <name val="Calibri"/>
      <family val="2"/>
      <scheme val="minor"/>
    </font>
    <font>
      <b/>
      <sz val="11"/>
      <color theme="1"/>
      <name val="Calibri"/>
      <family val="2"/>
      <scheme val="minor"/>
    </font>
    <font>
      <b/>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1">
    <xf numFmtId="0" fontId="0" fillId="0" borderId="0"/>
  </cellStyleXfs>
  <cellXfs count="33">
    <xf numFmtId="0" fontId="0" fillId="0" borderId="0" xfId="0"/>
    <xf numFmtId="14" fontId="0" fillId="0" borderId="0" xfId="0" applyNumberFormat="1"/>
    <xf numFmtId="164" fontId="0" fillId="0" borderId="0" xfId="0" applyNumberFormat="1"/>
    <xf numFmtId="0" fontId="1" fillId="0" borderId="0" xfId="0" applyFont="1" applyFill="1" applyAlignment="1"/>
    <xf numFmtId="0" fontId="0" fillId="0" borderId="1" xfId="0" applyBorder="1"/>
    <xf numFmtId="164" fontId="0" fillId="0" borderId="1" xfId="0" applyNumberFormat="1" applyBorder="1"/>
    <xf numFmtId="1" fontId="0" fillId="0" borderId="1" xfId="0" applyNumberFormat="1" applyBorder="1"/>
    <xf numFmtId="0" fontId="0" fillId="0" borderId="1" xfId="0" applyBorder="1" applyAlignment="1">
      <alignment vertical="center"/>
    </xf>
    <xf numFmtId="0" fontId="1" fillId="3" borderId="1" xfId="0" applyFont="1" applyFill="1" applyBorder="1" applyAlignment="1">
      <alignment horizontal="left" vertical="top"/>
    </xf>
    <xf numFmtId="0" fontId="1" fillId="3" borderId="1" xfId="0" applyFont="1" applyFill="1" applyBorder="1"/>
    <xf numFmtId="0" fontId="1" fillId="3" borderId="1" xfId="0" applyFont="1" applyFill="1" applyBorder="1" applyAlignment="1">
      <alignment vertical="center"/>
    </xf>
    <xf numFmtId="164" fontId="0" fillId="0" borderId="1" xfId="0" applyNumberFormat="1" applyFont="1" applyBorder="1" applyAlignment="1"/>
    <xf numFmtId="0" fontId="1" fillId="3" borderId="1" xfId="0" applyFont="1" applyFill="1" applyBorder="1" applyAlignment="1"/>
    <xf numFmtId="0" fontId="0" fillId="0" borderId="0" xfId="0" pivotButton="1"/>
    <xf numFmtId="0" fontId="0" fillId="0" borderId="0" xfId="0" applyAlignment="1">
      <alignment horizontal="left"/>
    </xf>
    <xf numFmtId="14" fontId="0" fillId="0" borderId="0" xfId="0" applyNumberFormat="1" applyAlignment="1">
      <alignment horizontal="left"/>
    </xf>
    <xf numFmtId="14" fontId="2" fillId="2" borderId="4" xfId="0" applyNumberFormat="1" applyFont="1" applyFill="1" applyBorder="1" applyAlignment="1">
      <alignment horizontal="center" vertical="center" wrapText="1"/>
    </xf>
    <xf numFmtId="0" fontId="2" fillId="2" borderId="5" xfId="0" applyFont="1" applyFill="1" applyBorder="1" applyAlignment="1">
      <alignment horizontal="center" vertical="center" wrapText="1"/>
    </xf>
    <xf numFmtId="164" fontId="2" fillId="2" borderId="5" xfId="0" applyNumberFormat="1" applyFont="1" applyFill="1" applyBorder="1" applyAlignment="1">
      <alignment horizontal="center" vertical="center" wrapText="1"/>
    </xf>
    <xf numFmtId="164" fontId="2" fillId="2" borderId="6" xfId="0" applyNumberFormat="1" applyFont="1" applyFill="1" applyBorder="1" applyAlignment="1">
      <alignment horizontal="center" vertical="center" wrapText="1"/>
    </xf>
    <xf numFmtId="14" fontId="0" fillId="0" borderId="2" xfId="0" applyNumberFormat="1" applyFill="1" applyBorder="1" applyAlignment="1">
      <alignment vertical="center" wrapText="1"/>
    </xf>
    <xf numFmtId="0" fontId="0" fillId="0" borderId="1" xfId="0" applyFill="1" applyBorder="1" applyAlignment="1">
      <alignment vertical="center" wrapText="1"/>
    </xf>
    <xf numFmtId="164" fontId="0" fillId="0" borderId="1" xfId="0" applyNumberFormat="1" applyFill="1" applyBorder="1" applyAlignment="1">
      <alignment vertical="center" wrapText="1"/>
    </xf>
    <xf numFmtId="164" fontId="0" fillId="0" borderId="3" xfId="0" applyNumberFormat="1" applyFill="1" applyBorder="1" applyAlignment="1">
      <alignment vertical="center" wrapText="1"/>
    </xf>
    <xf numFmtId="14" fontId="0" fillId="0" borderId="7" xfId="0" applyNumberFormat="1" applyFill="1" applyBorder="1" applyAlignment="1">
      <alignment vertical="center" wrapText="1"/>
    </xf>
    <xf numFmtId="0" fontId="0" fillId="0" borderId="8" xfId="0" applyFill="1" applyBorder="1" applyAlignment="1">
      <alignment vertical="center" wrapText="1"/>
    </xf>
    <xf numFmtId="164" fontId="0" fillId="0" borderId="8" xfId="0" applyNumberFormat="1" applyFill="1" applyBorder="1" applyAlignment="1">
      <alignment vertical="center" wrapText="1"/>
    </xf>
    <xf numFmtId="164" fontId="0" fillId="0" borderId="9" xfId="0" applyNumberFormat="1" applyFill="1" applyBorder="1" applyAlignment="1">
      <alignment vertical="center" wrapText="1"/>
    </xf>
    <xf numFmtId="0" fontId="1" fillId="2" borderId="1" xfId="0" applyFont="1" applyFill="1" applyBorder="1" applyAlignment="1">
      <alignment horizontal="center"/>
    </xf>
    <xf numFmtId="0" fontId="1" fillId="2" borderId="3" xfId="0" applyFont="1" applyFill="1" applyBorder="1" applyAlignment="1">
      <alignment horizontal="center"/>
    </xf>
    <xf numFmtId="0" fontId="1" fillId="2" borderId="10" xfId="0" applyFont="1" applyFill="1" applyBorder="1" applyAlignment="1">
      <alignment horizontal="center"/>
    </xf>
    <xf numFmtId="0" fontId="1" fillId="2" borderId="2" xfId="0" applyFont="1" applyFill="1" applyBorder="1" applyAlignment="1">
      <alignment horizontal="center"/>
    </xf>
    <xf numFmtId="0" fontId="1" fillId="2" borderId="1" xfId="0" applyFont="1" applyFill="1" applyBorder="1" applyAlignment="1">
      <alignment horizontal="center" vertical="center"/>
    </xf>
  </cellXfs>
  <cellStyles count="1">
    <cellStyle name="Normal" xfId="0" builtinId="0"/>
  </cellStyles>
  <dxfs count="20">
    <dxf>
      <numFmt numFmtId="164" formatCode="&quot;Rp&quot;#,##0"/>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numFmt numFmtId="164" formatCode="&quot;Rp&quot;#,##0"/>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fill>
        <patternFill patternType="none">
          <fgColor indexed="64"/>
          <bgColor auto="1"/>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Table!PivotTable5</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Table'!$D$4:$D$8</c:f>
              <c:strCache>
                <c:ptCount val="4"/>
                <c:pt idx="0">
                  <c:v>East</c:v>
                </c:pt>
                <c:pt idx="1">
                  <c:v>North</c:v>
                </c:pt>
                <c:pt idx="2">
                  <c:v>South</c:v>
                </c:pt>
                <c:pt idx="3">
                  <c:v>West</c:v>
                </c:pt>
              </c:strCache>
            </c:strRef>
          </c:cat>
          <c:val>
            <c:numRef>
              <c:f>'Pivot Table'!$E$4:$E$8</c:f>
              <c:numCache>
                <c:formatCode>"Rp"#,##0</c:formatCode>
                <c:ptCount val="4"/>
                <c:pt idx="0">
                  <c:v>12850000</c:v>
                </c:pt>
                <c:pt idx="1">
                  <c:v>9200000</c:v>
                </c:pt>
                <c:pt idx="2">
                  <c:v>7450000</c:v>
                </c:pt>
                <c:pt idx="3">
                  <c:v>29950000</c:v>
                </c:pt>
              </c:numCache>
            </c:numRef>
          </c:val>
          <c:extLst>
            <c:ext xmlns:c16="http://schemas.microsoft.com/office/drawing/2014/chart" uri="{C3380CC4-5D6E-409C-BE32-E72D297353CC}">
              <c16:uniqueId val="{00000002-E383-47BA-A4C8-1B7C9078810A}"/>
            </c:ext>
          </c:extLst>
        </c:ser>
        <c:dLbls>
          <c:showLegendKey val="0"/>
          <c:showVal val="0"/>
          <c:showCatName val="0"/>
          <c:showSerName val="0"/>
          <c:showPercent val="0"/>
          <c:showBubbleSize val="0"/>
        </c:dLbls>
        <c:gapWidth val="219"/>
        <c:overlap val="-27"/>
        <c:axId val="1888271407"/>
        <c:axId val="1887834207"/>
      </c:barChart>
      <c:catAx>
        <c:axId val="188827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834207"/>
        <c:crosses val="autoZero"/>
        <c:auto val="1"/>
        <c:lblAlgn val="ctr"/>
        <c:lblOffset val="100"/>
        <c:noMultiLvlLbl val="0"/>
      </c:catAx>
      <c:valAx>
        <c:axId val="1887834207"/>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27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9524</xdr:colOff>
      <xdr:row>1</xdr:row>
      <xdr:rowOff>185737</xdr:rowOff>
    </xdr:from>
    <xdr:to>
      <xdr:col>10</xdr:col>
      <xdr:colOff>347661</xdr:colOff>
      <xdr:row>13</xdr:row>
      <xdr:rowOff>19050</xdr:rowOff>
    </xdr:to>
    <xdr:graphicFrame macro="">
      <xdr:nvGraphicFramePr>
        <xdr:cNvPr id="3" name="Chart 2">
          <a:extLst>
            <a:ext uri="{FF2B5EF4-FFF2-40B4-BE49-F238E27FC236}">
              <a16:creationId xmlns:a16="http://schemas.microsoft.com/office/drawing/2014/main" id="{B0E5C814-C0E0-4784-9F4B-41CE7D364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762000</xdr:colOff>
      <xdr:row>11</xdr:row>
      <xdr:rowOff>9526</xdr:rowOff>
    </xdr:from>
    <xdr:to>
      <xdr:col>13</xdr:col>
      <xdr:colOff>542925</xdr:colOff>
      <xdr:row>15</xdr:row>
      <xdr:rowOff>161926</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1CED2B61-5773-4984-AAE4-B5B44C81D04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182100" y="2105026"/>
              <a:ext cx="1828800" cy="9144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771525</xdr:colOff>
      <xdr:row>2</xdr:row>
      <xdr:rowOff>1</xdr:rowOff>
    </xdr:from>
    <xdr:to>
      <xdr:col>13</xdr:col>
      <xdr:colOff>123825</xdr:colOff>
      <xdr:row>9</xdr:row>
      <xdr:rowOff>171451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029E020D-ED5F-4DCF-ACF0-6AF6889A0A9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91625" y="381001"/>
              <a:ext cx="1400175" cy="15049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s PC" refreshedDate="46032.651455324078" createdVersion="6" refreshedVersion="6" minRefreshableVersion="3" recordCount="15" xr:uid="{83508FCD-41F4-4D43-80F0-5D8D656B4B00}">
  <cacheSource type="worksheet">
    <worksheetSource name="Table2"/>
  </cacheSource>
  <cacheFields count="9">
    <cacheField name="Date" numFmtId="14">
      <sharedItems containsSemiMixedTypes="0" containsNonDate="0" containsDate="1" containsString="0" minDate="2025-01-01T00:00:00" maxDate="2025-01-09T00:00:00" count="8">
        <d v="2025-01-01T00:00:00"/>
        <d v="2025-01-02T00:00:00"/>
        <d v="2025-01-03T00:00:00"/>
        <d v="2025-01-04T00:00:00"/>
        <d v="2025-01-05T00:00:00"/>
        <d v="2025-01-06T00:00:00"/>
        <d v="2025-01-07T00:00:00"/>
        <d v="2025-01-08T00:00:00"/>
      </sharedItems>
    </cacheField>
    <cacheField name="Order_ID" numFmtId="0">
      <sharedItems count="15">
        <s v="ORD001"/>
        <s v="ORD002"/>
        <s v="ORD003"/>
        <s v="ORD004"/>
        <s v="ORD005"/>
        <s v="ORD006"/>
        <s v="ORD007"/>
        <s v="ORD008"/>
        <s v="ORD009"/>
        <s v="ORD010"/>
        <s v="ORD011"/>
        <s v="ORD012"/>
        <s v="ORD013"/>
        <s v="ORD014"/>
        <s v="ORD015"/>
      </sharedItems>
    </cacheField>
    <cacheField name="Customer" numFmtId="0">
      <sharedItems count="15">
        <s v="Andi"/>
        <s v="Budi"/>
        <s v="Citra"/>
        <s v="Dewi"/>
        <s v="Eko"/>
        <s v="Fajar"/>
        <s v="Gina"/>
        <s v="Hani"/>
        <s v="Ivan"/>
        <s v="Joko"/>
        <s v="Karin"/>
        <s v="Lina"/>
        <s v="Made"/>
        <s v="Nina"/>
        <s v="Oki"/>
      </sharedItems>
    </cacheField>
    <cacheField name="Product" numFmtId="0">
      <sharedItems count="6">
        <s v="Laptop"/>
        <s v="Mouse"/>
        <s v="Keyboard"/>
        <s v="Monitor"/>
        <s v="Headset"/>
        <s v="Printer"/>
      </sharedItems>
    </cacheField>
    <cacheField name="Category" numFmtId="0">
      <sharedItems count="2">
        <s v="Electronics"/>
        <s v="Accessories"/>
      </sharedItems>
    </cacheField>
    <cacheField name="Region" numFmtId="0">
      <sharedItems count="4">
        <s v="West"/>
        <s v="East"/>
        <s v="South"/>
        <s v="North"/>
      </sharedItems>
    </cacheField>
    <cacheField name="Quantity" numFmtId="0">
      <sharedItems containsSemiMixedTypes="0" containsString="0" containsNumber="1" containsInteger="1" minValue="1" maxValue="6"/>
    </cacheField>
    <cacheField name="Unit_Price" numFmtId="164">
      <sharedItems containsSemiMixedTypes="0" containsString="0" containsNumber="1" containsInteger="1" minValue="150000" maxValue="8500000"/>
    </cacheField>
    <cacheField name="Sales" numFmtId="164">
      <sharedItems containsSemiMixedTypes="0" containsString="0" containsNumber="1" containsInteger="1" minValue="600000" maxValue="17000000"/>
    </cacheField>
  </cacheFields>
  <extLst>
    <ext xmlns:x14="http://schemas.microsoft.com/office/spreadsheetml/2009/9/main" uri="{725AE2AE-9491-48be-B2B4-4EB974FC3084}">
      <x14:pivotCacheDefinition pivotCacheId="19463158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x v="0"/>
    <x v="0"/>
    <x v="0"/>
    <n v="2"/>
    <n v="8500000"/>
    <n v="17000000"/>
  </r>
  <r>
    <x v="0"/>
    <x v="1"/>
    <x v="1"/>
    <x v="1"/>
    <x v="1"/>
    <x v="1"/>
    <n v="5"/>
    <n v="150000"/>
    <n v="750000"/>
  </r>
  <r>
    <x v="1"/>
    <x v="2"/>
    <x v="2"/>
    <x v="2"/>
    <x v="1"/>
    <x v="2"/>
    <n v="3"/>
    <n v="350000"/>
    <n v="1050000"/>
  </r>
  <r>
    <x v="1"/>
    <x v="3"/>
    <x v="3"/>
    <x v="3"/>
    <x v="0"/>
    <x v="0"/>
    <n v="1"/>
    <n v="2200000"/>
    <n v="2200000"/>
  </r>
  <r>
    <x v="2"/>
    <x v="4"/>
    <x v="4"/>
    <x v="0"/>
    <x v="0"/>
    <x v="3"/>
    <n v="1"/>
    <n v="8500000"/>
    <n v="8500000"/>
  </r>
  <r>
    <x v="2"/>
    <x v="5"/>
    <x v="5"/>
    <x v="4"/>
    <x v="1"/>
    <x v="1"/>
    <n v="4"/>
    <n v="450000"/>
    <n v="1800000"/>
  </r>
  <r>
    <x v="3"/>
    <x v="6"/>
    <x v="6"/>
    <x v="5"/>
    <x v="0"/>
    <x v="2"/>
    <n v="2"/>
    <n v="1800000"/>
    <n v="3600000"/>
  </r>
  <r>
    <x v="3"/>
    <x v="7"/>
    <x v="7"/>
    <x v="1"/>
    <x v="1"/>
    <x v="0"/>
    <n v="6"/>
    <n v="150000"/>
    <n v="900000"/>
  </r>
  <r>
    <x v="4"/>
    <x v="8"/>
    <x v="8"/>
    <x v="0"/>
    <x v="0"/>
    <x v="1"/>
    <n v="1"/>
    <n v="8500000"/>
    <n v="8500000"/>
  </r>
  <r>
    <x v="4"/>
    <x v="9"/>
    <x v="9"/>
    <x v="2"/>
    <x v="1"/>
    <x v="3"/>
    <n v="2"/>
    <n v="350000"/>
    <n v="700000"/>
  </r>
  <r>
    <x v="5"/>
    <x v="10"/>
    <x v="10"/>
    <x v="3"/>
    <x v="0"/>
    <x v="2"/>
    <n v="1"/>
    <n v="2200000"/>
    <n v="2200000"/>
  </r>
  <r>
    <x v="5"/>
    <x v="11"/>
    <x v="11"/>
    <x v="4"/>
    <x v="1"/>
    <x v="0"/>
    <n v="3"/>
    <n v="450000"/>
    <n v="1350000"/>
  </r>
  <r>
    <x v="6"/>
    <x v="12"/>
    <x v="12"/>
    <x v="5"/>
    <x v="0"/>
    <x v="1"/>
    <n v="1"/>
    <n v="1800000"/>
    <n v="1800000"/>
  </r>
  <r>
    <x v="6"/>
    <x v="13"/>
    <x v="13"/>
    <x v="1"/>
    <x v="1"/>
    <x v="2"/>
    <n v="4"/>
    <n v="150000"/>
    <n v="600000"/>
  </r>
  <r>
    <x v="7"/>
    <x v="14"/>
    <x v="14"/>
    <x v="0"/>
    <x v="0"/>
    <x v="0"/>
    <n v="1"/>
    <n v="8500000"/>
    <n v="85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7BF408-771E-4F03-86B6-4D9040D745BF}"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Region">
  <location ref="D3:E8" firstHeaderRow="1" firstDataRow="1" firstDataCol="1"/>
  <pivotFields count="9">
    <pivotField numFmtId="14" showAll="0"/>
    <pivotField showAll="0"/>
    <pivotField showAll="0"/>
    <pivotField showAll="0">
      <items count="7">
        <item x="4"/>
        <item x="2"/>
        <item x="0"/>
        <item x="3"/>
        <item x="1"/>
        <item x="5"/>
        <item t="default"/>
      </items>
    </pivotField>
    <pivotField showAll="0">
      <items count="3">
        <item x="1"/>
        <item x="0"/>
        <item t="default"/>
      </items>
    </pivotField>
    <pivotField axis="axisRow" showAll="0">
      <items count="5">
        <item x="1"/>
        <item x="3"/>
        <item x="2"/>
        <item x="0"/>
        <item t="default"/>
      </items>
    </pivotField>
    <pivotField showAll="0"/>
    <pivotField numFmtId="164" showAll="0"/>
    <pivotField dataField="1" numFmtId="164" showAll="0"/>
  </pivotFields>
  <rowFields count="1">
    <field x="5"/>
  </rowFields>
  <rowItems count="5">
    <i>
      <x/>
    </i>
    <i>
      <x v="1"/>
    </i>
    <i>
      <x v="2"/>
    </i>
    <i>
      <x v="3"/>
    </i>
    <i t="grand">
      <x/>
    </i>
  </rowItems>
  <colItems count="1">
    <i/>
  </colItems>
  <dataFields count="1">
    <dataField name="Sum of Sales" fld="8" baseField="0" baseItem="0"/>
  </dataFields>
  <formats count="2">
    <format dxfId="15">
      <pivotArea collapsedLevelsAreSubtotals="1" fieldPosition="0">
        <references count="1">
          <reference field="5" count="0"/>
        </references>
      </pivotArea>
    </format>
    <format dxfId="14">
      <pivotArea grandRow="1" outline="0" collapsedLevelsAreSubtotals="1" fieldPosition="0"/>
    </format>
  </format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AD6857-5567-46C2-8111-BF714CA5BB9A}"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ate">
  <location ref="A8:B17" firstHeaderRow="1" firstDataRow="1" firstDataCol="1"/>
  <pivotFields count="9">
    <pivotField axis="axisRow" numFmtId="14" showAll="0">
      <items count="9">
        <item x="0"/>
        <item x="1"/>
        <item x="2"/>
        <item x="3"/>
        <item x="4"/>
        <item x="5"/>
        <item x="6"/>
        <item x="7"/>
        <item t="default"/>
      </items>
    </pivotField>
    <pivotField showAll="0"/>
    <pivotField showAll="0"/>
    <pivotField showAll="0"/>
    <pivotField showAll="0"/>
    <pivotField showAll="0"/>
    <pivotField showAll="0"/>
    <pivotField numFmtId="164" showAll="0"/>
    <pivotField dataField="1" numFmtId="164" showAll="0"/>
  </pivotFields>
  <rowFields count="1">
    <field x="0"/>
  </rowFields>
  <rowItems count="9">
    <i>
      <x/>
    </i>
    <i>
      <x v="1"/>
    </i>
    <i>
      <x v="2"/>
    </i>
    <i>
      <x v="3"/>
    </i>
    <i>
      <x v="4"/>
    </i>
    <i>
      <x v="5"/>
    </i>
    <i>
      <x v="6"/>
    </i>
    <i>
      <x v="7"/>
    </i>
    <i t="grand">
      <x/>
    </i>
  </rowItems>
  <colItems count="1">
    <i/>
  </colItems>
  <dataFields count="1">
    <dataField name="Sum of Sales" fld="8" baseField="0" baseItem="0"/>
  </dataFields>
  <formats count="2">
    <format dxfId="17">
      <pivotArea collapsedLevelsAreSubtotals="1" fieldPosition="0">
        <references count="1">
          <reference field="0" count="0"/>
        </references>
      </pivotArea>
    </format>
    <format dxfId="1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82CA2E-EBCC-4CBD-B341-10FB317BC7F8}"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ategory">
  <location ref="A3:B6" firstHeaderRow="1" firstDataRow="1" firstDataCol="1"/>
  <pivotFields count="9">
    <pivotField numFmtId="14" showAll="0"/>
    <pivotField showAll="0"/>
    <pivotField showAll="0"/>
    <pivotField showAll="0"/>
    <pivotField axis="axisRow" showAll="0">
      <items count="3">
        <item x="1"/>
        <item x="0"/>
        <item t="default"/>
      </items>
    </pivotField>
    <pivotField showAll="0"/>
    <pivotField showAll="0"/>
    <pivotField numFmtId="164" showAll="0"/>
    <pivotField dataField="1" numFmtId="164" showAll="0"/>
  </pivotFields>
  <rowFields count="1">
    <field x="4"/>
  </rowFields>
  <rowItems count="3">
    <i>
      <x/>
    </i>
    <i>
      <x v="1"/>
    </i>
    <i t="grand">
      <x/>
    </i>
  </rowItems>
  <colItems count="1">
    <i/>
  </colItems>
  <dataFields count="1">
    <dataField name="Sum of Sales" fld="8" baseField="0" baseItem="0"/>
  </dataFields>
  <formats count="2">
    <format dxfId="19">
      <pivotArea collapsedLevelsAreSubtotals="1" fieldPosition="0">
        <references count="1">
          <reference field="4" count="0"/>
        </references>
      </pivotArea>
    </format>
    <format dxfId="18">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2D02324-E137-4132-B4FC-5A4F41D39631}" sourceName="Category">
  <pivotTables>
    <pivotTable tabId="6" name="PivotTable5"/>
  </pivotTables>
  <data>
    <tabular pivotCacheId="194631581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C4C3B27-F666-454D-96F3-A80E4DA76911}" sourceName="Region">
  <pivotTables>
    <pivotTable tabId="6" name="PivotTable5"/>
  </pivotTables>
  <data>
    <tabular pivotCacheId="1946315812">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ED500BC-641E-4B1D-9C8C-DD4E264FCFE1}" cache="Slicer_Category" caption="Category" rowHeight="241300"/>
  <slicer name="Region" xr10:uid="{93B87813-9474-411E-8FC9-FDCE8F9EB78E}"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EA3717-D28F-42E6-A27B-B3771CBEF1A2}" name="Table2" displayName="Table2" ref="A1:I16" totalsRowShown="0" headerRowDxfId="13" dataDxfId="11" headerRowBorderDxfId="12" tableBorderDxfId="10" totalsRowBorderDxfId="9">
  <autoFilter ref="A1:I16" xr:uid="{20FE95D8-C0E2-45F9-B3BD-0BD039991EF1}"/>
  <tableColumns count="9">
    <tableColumn id="1" xr3:uid="{D949A5D6-B4C2-4EFB-B5DC-DD1B3E525242}" name="Date" dataDxfId="8"/>
    <tableColumn id="2" xr3:uid="{F3DD528C-BA54-453F-B611-EB43159F44CE}" name="Order_ID" dataDxfId="7"/>
    <tableColumn id="3" xr3:uid="{90768214-A2AB-4B24-86B2-48F3B00BFAF9}" name="Customer" dataDxfId="6"/>
    <tableColumn id="4" xr3:uid="{D95F6465-F418-4067-9366-2C0624DD3E93}" name="Product" dataDxfId="5"/>
    <tableColumn id="5" xr3:uid="{CC3F27FA-0F31-4266-BFEC-2621FA5BB2E2}" name="Category" dataDxfId="4"/>
    <tableColumn id="6" xr3:uid="{6510FBA4-A6B8-49EC-A746-6FC9E63A8951}" name="Region" dataDxfId="3"/>
    <tableColumn id="7" xr3:uid="{7DDF2189-FF55-44CB-A31C-D35AD9B97050}" name="Quantity" dataDxfId="2"/>
    <tableColumn id="8" xr3:uid="{B9CC5F45-7663-4339-9B4A-21204F53E1D5}" name="Unit_Price" dataDxfId="1"/>
    <tableColumn id="9" xr3:uid="{24101326-0DEB-4BC3-B8B6-185CB41061C5}" name="Sales" dataDxfId="0">
      <calculatedColumnFormula>G2*H2</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A019F-F3AE-4E54-A4FD-C24433EAFE74}">
  <dimension ref="A1:I22"/>
  <sheetViews>
    <sheetView workbookViewId="0">
      <selection activeCell="F12" sqref="F12"/>
    </sheetView>
  </sheetViews>
  <sheetFormatPr defaultRowHeight="15" x14ac:dyDescent="0.25"/>
  <cols>
    <col min="1" max="1" width="23" style="1" customWidth="1"/>
    <col min="2" max="2" width="12.42578125" bestFit="1" customWidth="1"/>
    <col min="3" max="3" width="11.28515625" customWidth="1"/>
    <col min="4" max="4" width="12.85546875" customWidth="1"/>
    <col min="5" max="5" width="13.140625" customWidth="1"/>
    <col min="6" max="7" width="17.42578125" bestFit="1" customWidth="1"/>
    <col min="8" max="8" width="12.42578125" style="2" bestFit="1" customWidth="1"/>
    <col min="9" max="9" width="12.5703125" style="2" bestFit="1" customWidth="1"/>
    <col min="10" max="10" width="11.42578125" bestFit="1" customWidth="1"/>
  </cols>
  <sheetData>
    <row r="1" spans="1:9" x14ac:dyDescent="0.25">
      <c r="C1" s="3"/>
    </row>
    <row r="2" spans="1:9" x14ac:dyDescent="0.25">
      <c r="A2" s="32" t="s">
        <v>52</v>
      </c>
      <c r="B2" s="32"/>
      <c r="D2" s="28" t="s">
        <v>58</v>
      </c>
      <c r="E2" s="28"/>
    </row>
    <row r="3" spans="1:9" x14ac:dyDescent="0.25">
      <c r="A3" s="9" t="s">
        <v>51</v>
      </c>
      <c r="B3" s="5">
        <f>SUM('Sales Data'!I2:I16)</f>
        <v>59450000</v>
      </c>
      <c r="D3" s="10" t="s">
        <v>59</v>
      </c>
      <c r="E3" s="9" t="s">
        <v>60</v>
      </c>
    </row>
    <row r="4" spans="1:9" x14ac:dyDescent="0.25">
      <c r="A4" s="12" t="s">
        <v>53</v>
      </c>
      <c r="B4" s="5">
        <f>AVERAGE('Sales Data'!I2:I16)</f>
        <v>3963333.3333333335</v>
      </c>
      <c r="D4" s="7" t="str">
        <f>IF(B3&gt;=5000000,"High","Low")</f>
        <v>High</v>
      </c>
      <c r="E4" s="4" t="str">
        <f>IF(AND(B3&gt;=5000000,B7&gt;=10),"Achieved","Not Achieved")</f>
        <v>Achieved</v>
      </c>
    </row>
    <row r="5" spans="1:9" x14ac:dyDescent="0.25">
      <c r="A5" s="9" t="s">
        <v>54</v>
      </c>
      <c r="B5" s="5">
        <f>MAX('Sales Data'!I2:I16)</f>
        <v>17000000</v>
      </c>
      <c r="H5"/>
      <c r="I5"/>
    </row>
    <row r="6" spans="1:9" x14ac:dyDescent="0.25">
      <c r="A6" s="9" t="s">
        <v>55</v>
      </c>
      <c r="B6" s="5">
        <f>MIN('Sales Data'!I2:I16)</f>
        <v>600000</v>
      </c>
      <c r="D6" s="28" t="s">
        <v>63</v>
      </c>
      <c r="E6" s="28"/>
    </row>
    <row r="7" spans="1:9" x14ac:dyDescent="0.25">
      <c r="A7" s="9" t="s">
        <v>56</v>
      </c>
      <c r="B7" s="6">
        <f>COUNT('Sales Data'!I2:I16)</f>
        <v>15</v>
      </c>
      <c r="D7" s="9" t="s">
        <v>12</v>
      </c>
      <c r="E7" s="9" t="s">
        <v>17</v>
      </c>
    </row>
    <row r="8" spans="1:9" x14ac:dyDescent="0.25">
      <c r="A8" s="9" t="s">
        <v>57</v>
      </c>
      <c r="B8" s="4">
        <f>SUM('Sales Data'!G2:G16)</f>
        <v>37</v>
      </c>
      <c r="D8" s="5">
        <f>SUMIF('Sales Data'!E:E,"Electronics",'Sales Data'!I:I)</f>
        <v>52300000</v>
      </c>
      <c r="E8" s="5">
        <f>SUMIF('Sales Data'!E:E,"Accessories",'Sales Data'!I:I)</f>
        <v>7150000</v>
      </c>
    </row>
    <row r="9" spans="1:9" x14ac:dyDescent="0.25">
      <c r="A9"/>
      <c r="H9"/>
      <c r="I9"/>
    </row>
    <row r="10" spans="1:9" x14ac:dyDescent="0.25">
      <c r="A10" s="28" t="s">
        <v>61</v>
      </c>
      <c r="B10" s="28"/>
      <c r="C10" s="28"/>
      <c r="D10" s="28"/>
    </row>
    <row r="11" spans="1:9" x14ac:dyDescent="0.25">
      <c r="A11" s="8" t="s">
        <v>62</v>
      </c>
      <c r="B11" s="9" t="s">
        <v>18</v>
      </c>
      <c r="C11" s="9" t="s">
        <v>28</v>
      </c>
      <c r="D11" s="9" t="s">
        <v>22</v>
      </c>
    </row>
    <row r="12" spans="1:9" x14ac:dyDescent="0.25">
      <c r="A12" s="5">
        <f>SUMIF('Sales Data'!F:F,"West",'Sales Data'!I:I)</f>
        <v>29950000</v>
      </c>
      <c r="B12" s="5">
        <f>SUMIF('Sales Data'!F:F,"East",'Sales Data'!I:I)</f>
        <v>12850000</v>
      </c>
      <c r="C12" s="5">
        <f>SUMIF('Sales Data'!F:F,"North",'Sales Data'!I:I)</f>
        <v>9200000</v>
      </c>
      <c r="D12" s="5">
        <f>SUMIF('Sales Data'!F:F,"South",'Sales Data'!I:I)</f>
        <v>7450000</v>
      </c>
    </row>
    <row r="13" spans="1:9" x14ac:dyDescent="0.25">
      <c r="A13"/>
    </row>
    <row r="14" spans="1:9" x14ac:dyDescent="0.25">
      <c r="A14" s="9"/>
      <c r="B14" s="9" t="s">
        <v>12</v>
      </c>
      <c r="C14" s="9" t="s">
        <v>17</v>
      </c>
    </row>
    <row r="15" spans="1:9" x14ac:dyDescent="0.25">
      <c r="A15" s="9" t="s">
        <v>13</v>
      </c>
      <c r="B15" s="11">
        <f>SUMIFS('Sales Data'!I:I,'Sales Data'!F:F,"West",'Sales Data'!E:E,"Electronics")</f>
        <v>27700000</v>
      </c>
      <c r="C15" s="11">
        <f>SUMIFS('Sales Data'!I:I,'Sales Data'!F:F,"West",'Sales Data'!E:E,"Accessories")</f>
        <v>2250000</v>
      </c>
      <c r="H15"/>
      <c r="I15"/>
    </row>
    <row r="16" spans="1:9" x14ac:dyDescent="0.25">
      <c r="A16" s="9" t="s">
        <v>18</v>
      </c>
      <c r="B16" s="5">
        <f>SUMIFS('Sales Data'!I:I,'Sales Data'!F:F,"East",'Sales Data'!E:E,"Electronics")</f>
        <v>10300000</v>
      </c>
      <c r="C16" s="5">
        <f>SUMIFS('Sales Data'!I:I,'Sales Data'!F:F,"East",'Sales Data'!E:E,"Accessories")</f>
        <v>2550000</v>
      </c>
      <c r="H16"/>
      <c r="I16"/>
    </row>
    <row r="17" spans="1:5" x14ac:dyDescent="0.25">
      <c r="A17" s="9" t="s">
        <v>28</v>
      </c>
      <c r="B17" s="5">
        <f>SUMIFS('Sales Data'!I:I,'Sales Data'!F:F,"North",'Sales Data'!E:E,"Electronics")</f>
        <v>8500000</v>
      </c>
      <c r="C17" s="5">
        <f>SUMIFS('Sales Data'!I:I,'Sales Data'!F:F,"North",'Sales Data'!E:E,"Accessories")</f>
        <v>700000</v>
      </c>
    </row>
    <row r="18" spans="1:5" x14ac:dyDescent="0.25">
      <c r="A18" s="9" t="s">
        <v>22</v>
      </c>
      <c r="B18" s="5">
        <f>SUMIFS('Sales Data'!I:I,'Sales Data'!F:F,"South",'Sales Data'!E:E,"Electronics")</f>
        <v>5800000</v>
      </c>
      <c r="C18" s="5">
        <f>SUMIFS('Sales Data'!I:I,'Sales Data'!F:F,"South",'Sales Data'!E:E,"Accessories")</f>
        <v>1650000</v>
      </c>
    </row>
    <row r="20" spans="1:5" x14ac:dyDescent="0.25">
      <c r="A20" s="29" t="s">
        <v>64</v>
      </c>
      <c r="B20" s="30"/>
      <c r="C20" s="30"/>
      <c r="D20" s="30"/>
      <c r="E20" s="31"/>
    </row>
    <row r="21" spans="1:5" x14ac:dyDescent="0.25">
      <c r="A21" s="9" t="s">
        <v>11</v>
      </c>
      <c r="B21" s="9" t="s">
        <v>16</v>
      </c>
      <c r="C21" s="9" t="s">
        <v>25</v>
      </c>
      <c r="D21" s="9" t="s">
        <v>31</v>
      </c>
      <c r="E21" s="9" t="s">
        <v>34</v>
      </c>
    </row>
    <row r="22" spans="1:5" x14ac:dyDescent="0.25">
      <c r="A22" s="4">
        <f>COUNTIF('Sales Data'!D:D,"Laptop")</f>
        <v>4</v>
      </c>
      <c r="B22" s="4">
        <f>COUNTIF('Sales Data'!D:D,"Mouse")</f>
        <v>3</v>
      </c>
      <c r="C22" s="4">
        <f>COUNTIF('Sales Data'!D:D,"Monitor")</f>
        <v>2</v>
      </c>
      <c r="D22" s="4">
        <f>COUNTIF('Sales Data'!D:D,"Headset")</f>
        <v>2</v>
      </c>
      <c r="E22" s="4">
        <f>COUNTIF('Sales Data'!D:D,"Printer")</f>
        <v>2</v>
      </c>
    </row>
  </sheetData>
  <mergeCells count="5">
    <mergeCell ref="D6:E6"/>
    <mergeCell ref="A20:E20"/>
    <mergeCell ref="A2:B2"/>
    <mergeCell ref="D2:E2"/>
    <mergeCell ref="A10:D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163EF-271F-4983-910F-83D1B9433DB2}">
  <dimension ref="A3:E17"/>
  <sheetViews>
    <sheetView tabSelected="1" workbookViewId="0">
      <selection activeCell="F19" sqref="F19"/>
    </sheetView>
  </sheetViews>
  <sheetFormatPr defaultRowHeight="15" x14ac:dyDescent="0.25"/>
  <cols>
    <col min="1" max="1" width="13.140625" bestFit="1" customWidth="1"/>
    <col min="2" max="2" width="12.140625" bestFit="1" customWidth="1"/>
    <col min="3" max="3" width="12.42578125" bestFit="1" customWidth="1"/>
    <col min="4" max="4" width="13.140625" bestFit="1" customWidth="1"/>
    <col min="5" max="5" width="12.140625" bestFit="1" customWidth="1"/>
    <col min="6" max="6" width="12.42578125" bestFit="1" customWidth="1"/>
    <col min="7" max="7" width="13.140625" bestFit="1" customWidth="1"/>
    <col min="8" max="8" width="12.140625" bestFit="1" customWidth="1"/>
    <col min="9" max="9" width="12.42578125" bestFit="1" customWidth="1"/>
    <col min="10" max="10" width="13.140625" bestFit="1" customWidth="1"/>
    <col min="11" max="11" width="12.42578125" bestFit="1" customWidth="1"/>
  </cols>
  <sheetData>
    <row r="3" spans="1:5" x14ac:dyDescent="0.25">
      <c r="A3" s="13" t="s">
        <v>4</v>
      </c>
      <c r="B3" t="s">
        <v>66</v>
      </c>
      <c r="D3" s="13" t="s">
        <v>5</v>
      </c>
      <c r="E3" t="s">
        <v>66</v>
      </c>
    </row>
    <row r="4" spans="1:5" x14ac:dyDescent="0.25">
      <c r="A4" s="14" t="s">
        <v>17</v>
      </c>
      <c r="B4" s="2">
        <v>7150000</v>
      </c>
      <c r="D4" s="14" t="s">
        <v>18</v>
      </c>
      <c r="E4" s="2">
        <v>12850000</v>
      </c>
    </row>
    <row r="5" spans="1:5" x14ac:dyDescent="0.25">
      <c r="A5" s="14" t="s">
        <v>12</v>
      </c>
      <c r="B5" s="2">
        <v>52300000</v>
      </c>
      <c r="D5" s="14" t="s">
        <v>28</v>
      </c>
      <c r="E5" s="2">
        <v>9200000</v>
      </c>
    </row>
    <row r="6" spans="1:5" x14ac:dyDescent="0.25">
      <c r="A6" s="14" t="s">
        <v>65</v>
      </c>
      <c r="B6" s="2">
        <v>59450000</v>
      </c>
      <c r="D6" s="14" t="s">
        <v>22</v>
      </c>
      <c r="E6" s="2">
        <v>7450000</v>
      </c>
    </row>
    <row r="7" spans="1:5" x14ac:dyDescent="0.25">
      <c r="D7" s="14" t="s">
        <v>13</v>
      </c>
      <c r="E7" s="2">
        <v>29950000</v>
      </c>
    </row>
    <row r="8" spans="1:5" x14ac:dyDescent="0.25">
      <c r="A8" s="13" t="s">
        <v>0</v>
      </c>
      <c r="B8" t="s">
        <v>66</v>
      </c>
      <c r="D8" s="14" t="s">
        <v>65</v>
      </c>
      <c r="E8" s="2">
        <v>59450000</v>
      </c>
    </row>
    <row r="9" spans="1:5" x14ac:dyDescent="0.25">
      <c r="A9" s="15">
        <v>45658</v>
      </c>
      <c r="B9" s="2">
        <v>17750000</v>
      </c>
    </row>
    <row r="10" spans="1:5" x14ac:dyDescent="0.25">
      <c r="A10" s="15">
        <v>45659</v>
      </c>
      <c r="B10" s="2">
        <v>3250000</v>
      </c>
    </row>
    <row r="11" spans="1:5" x14ac:dyDescent="0.25">
      <c r="A11" s="15">
        <v>45660</v>
      </c>
      <c r="B11" s="2">
        <v>10300000</v>
      </c>
    </row>
    <row r="12" spans="1:5" x14ac:dyDescent="0.25">
      <c r="A12" s="15">
        <v>45661</v>
      </c>
      <c r="B12" s="2">
        <v>4500000</v>
      </c>
    </row>
    <row r="13" spans="1:5" x14ac:dyDescent="0.25">
      <c r="A13" s="15">
        <v>45662</v>
      </c>
      <c r="B13" s="2">
        <v>9200000</v>
      </c>
    </row>
    <row r="14" spans="1:5" x14ac:dyDescent="0.25">
      <c r="A14" s="15">
        <v>45663</v>
      </c>
      <c r="B14" s="2">
        <v>3550000</v>
      </c>
    </row>
    <row r="15" spans="1:5" x14ac:dyDescent="0.25">
      <c r="A15" s="15">
        <v>45664</v>
      </c>
      <c r="B15" s="2">
        <v>2400000</v>
      </c>
    </row>
    <row r="16" spans="1:5" x14ac:dyDescent="0.25">
      <c r="A16" s="15">
        <v>45665</v>
      </c>
      <c r="B16" s="2">
        <v>8500000</v>
      </c>
    </row>
    <row r="17" spans="1:2" x14ac:dyDescent="0.25">
      <c r="A17" s="15" t="s">
        <v>65</v>
      </c>
      <c r="B17" s="2">
        <v>59450000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157D8-3088-4C22-B422-68650B02B5F9}">
  <dimension ref="A1:I16"/>
  <sheetViews>
    <sheetView workbookViewId="0">
      <selection activeCell="L9" sqref="L9"/>
    </sheetView>
  </sheetViews>
  <sheetFormatPr defaultRowHeight="15" x14ac:dyDescent="0.25"/>
  <cols>
    <col min="1" max="1" width="10.7109375" style="1" bestFit="1" customWidth="1"/>
    <col min="2" max="2" width="13.5703125" bestFit="1" customWidth="1"/>
    <col min="3" max="3" width="14.140625" bestFit="1" customWidth="1"/>
    <col min="4" max="4" width="12.42578125" bestFit="1" customWidth="1"/>
    <col min="5" max="5" width="13.42578125" bestFit="1" customWidth="1"/>
    <col min="6" max="6" width="11.7109375" bestFit="1" customWidth="1"/>
    <col min="7" max="7" width="13.28515625" bestFit="1" customWidth="1"/>
    <col min="8" max="8" width="14.85546875" style="2" bestFit="1" customWidth="1"/>
    <col min="9" max="9" width="12.42578125" style="2" bestFit="1" customWidth="1"/>
  </cols>
  <sheetData>
    <row r="1" spans="1:9" x14ac:dyDescent="0.25">
      <c r="A1" s="16" t="s">
        <v>0</v>
      </c>
      <c r="B1" s="17" t="s">
        <v>1</v>
      </c>
      <c r="C1" s="17" t="s">
        <v>2</v>
      </c>
      <c r="D1" s="17" t="s">
        <v>3</v>
      </c>
      <c r="E1" s="17" t="s">
        <v>4</v>
      </c>
      <c r="F1" s="17" t="s">
        <v>5</v>
      </c>
      <c r="G1" s="17" t="s">
        <v>6</v>
      </c>
      <c r="H1" s="18" t="s">
        <v>7</v>
      </c>
      <c r="I1" s="19" t="s">
        <v>8</v>
      </c>
    </row>
    <row r="2" spans="1:9" x14ac:dyDescent="0.25">
      <c r="A2" s="20">
        <v>45658</v>
      </c>
      <c r="B2" s="21" t="s">
        <v>9</v>
      </c>
      <c r="C2" s="21" t="s">
        <v>10</v>
      </c>
      <c r="D2" s="21" t="s">
        <v>11</v>
      </c>
      <c r="E2" s="21" t="s">
        <v>12</v>
      </c>
      <c r="F2" s="21" t="s">
        <v>13</v>
      </c>
      <c r="G2" s="21">
        <v>2</v>
      </c>
      <c r="H2" s="22">
        <v>8500000</v>
      </c>
      <c r="I2" s="23">
        <f t="shared" ref="I2:I16" si="0">G2*H2</f>
        <v>17000000</v>
      </c>
    </row>
    <row r="3" spans="1:9" x14ac:dyDescent="0.25">
      <c r="A3" s="20">
        <v>45658</v>
      </c>
      <c r="B3" s="21" t="s">
        <v>14</v>
      </c>
      <c r="C3" s="21" t="s">
        <v>15</v>
      </c>
      <c r="D3" s="21" t="s">
        <v>16</v>
      </c>
      <c r="E3" s="21" t="s">
        <v>17</v>
      </c>
      <c r="F3" s="21" t="s">
        <v>18</v>
      </c>
      <c r="G3" s="21">
        <v>5</v>
      </c>
      <c r="H3" s="22">
        <v>150000</v>
      </c>
      <c r="I3" s="23">
        <f t="shared" si="0"/>
        <v>750000</v>
      </c>
    </row>
    <row r="4" spans="1:9" x14ac:dyDescent="0.25">
      <c r="A4" s="20">
        <v>45659</v>
      </c>
      <c r="B4" s="21" t="s">
        <v>19</v>
      </c>
      <c r="C4" s="21" t="s">
        <v>20</v>
      </c>
      <c r="D4" s="21" t="s">
        <v>21</v>
      </c>
      <c r="E4" s="21" t="s">
        <v>17</v>
      </c>
      <c r="F4" s="21" t="s">
        <v>22</v>
      </c>
      <c r="G4" s="21">
        <v>3</v>
      </c>
      <c r="H4" s="22">
        <v>350000</v>
      </c>
      <c r="I4" s="23">
        <f t="shared" si="0"/>
        <v>1050000</v>
      </c>
    </row>
    <row r="5" spans="1:9" x14ac:dyDescent="0.25">
      <c r="A5" s="20">
        <v>45659</v>
      </c>
      <c r="B5" s="21" t="s">
        <v>23</v>
      </c>
      <c r="C5" s="21" t="s">
        <v>24</v>
      </c>
      <c r="D5" s="21" t="s">
        <v>25</v>
      </c>
      <c r="E5" s="21" t="s">
        <v>12</v>
      </c>
      <c r="F5" s="21" t="s">
        <v>13</v>
      </c>
      <c r="G5" s="21">
        <v>1</v>
      </c>
      <c r="H5" s="22">
        <v>2200000</v>
      </c>
      <c r="I5" s="23">
        <f t="shared" si="0"/>
        <v>2200000</v>
      </c>
    </row>
    <row r="6" spans="1:9" x14ac:dyDescent="0.25">
      <c r="A6" s="20">
        <v>45660</v>
      </c>
      <c r="B6" s="21" t="s">
        <v>26</v>
      </c>
      <c r="C6" s="21" t="s">
        <v>27</v>
      </c>
      <c r="D6" s="21" t="s">
        <v>11</v>
      </c>
      <c r="E6" s="21" t="s">
        <v>12</v>
      </c>
      <c r="F6" s="21" t="s">
        <v>28</v>
      </c>
      <c r="G6" s="21">
        <v>1</v>
      </c>
      <c r="H6" s="22">
        <v>8500000</v>
      </c>
      <c r="I6" s="23">
        <f t="shared" si="0"/>
        <v>8500000</v>
      </c>
    </row>
    <row r="7" spans="1:9" x14ac:dyDescent="0.25">
      <c r="A7" s="20">
        <v>45660</v>
      </c>
      <c r="B7" s="21" t="s">
        <v>29</v>
      </c>
      <c r="C7" s="21" t="s">
        <v>30</v>
      </c>
      <c r="D7" s="21" t="s">
        <v>31</v>
      </c>
      <c r="E7" s="21" t="s">
        <v>17</v>
      </c>
      <c r="F7" s="21" t="s">
        <v>18</v>
      </c>
      <c r="G7" s="21">
        <v>4</v>
      </c>
      <c r="H7" s="22">
        <v>450000</v>
      </c>
      <c r="I7" s="23">
        <f t="shared" si="0"/>
        <v>1800000</v>
      </c>
    </row>
    <row r="8" spans="1:9" x14ac:dyDescent="0.25">
      <c r="A8" s="20">
        <v>45661</v>
      </c>
      <c r="B8" s="21" t="s">
        <v>32</v>
      </c>
      <c r="C8" s="21" t="s">
        <v>33</v>
      </c>
      <c r="D8" s="21" t="s">
        <v>34</v>
      </c>
      <c r="E8" s="21" t="s">
        <v>12</v>
      </c>
      <c r="F8" s="21" t="s">
        <v>22</v>
      </c>
      <c r="G8" s="21">
        <v>2</v>
      </c>
      <c r="H8" s="22">
        <v>1800000</v>
      </c>
      <c r="I8" s="23">
        <f t="shared" si="0"/>
        <v>3600000</v>
      </c>
    </row>
    <row r="9" spans="1:9" x14ac:dyDescent="0.25">
      <c r="A9" s="20">
        <v>45661</v>
      </c>
      <c r="B9" s="21" t="s">
        <v>35</v>
      </c>
      <c r="C9" s="21" t="s">
        <v>36</v>
      </c>
      <c r="D9" s="21" t="s">
        <v>16</v>
      </c>
      <c r="E9" s="21" t="s">
        <v>17</v>
      </c>
      <c r="F9" s="21" t="s">
        <v>13</v>
      </c>
      <c r="G9" s="21">
        <v>6</v>
      </c>
      <c r="H9" s="22">
        <v>150000</v>
      </c>
      <c r="I9" s="23">
        <f t="shared" si="0"/>
        <v>900000</v>
      </c>
    </row>
    <row r="10" spans="1:9" x14ac:dyDescent="0.25">
      <c r="A10" s="20">
        <v>45662</v>
      </c>
      <c r="B10" s="21" t="s">
        <v>37</v>
      </c>
      <c r="C10" s="21" t="s">
        <v>38</v>
      </c>
      <c r="D10" s="21" t="s">
        <v>11</v>
      </c>
      <c r="E10" s="21" t="s">
        <v>12</v>
      </c>
      <c r="F10" s="21" t="s">
        <v>18</v>
      </c>
      <c r="G10" s="21">
        <v>1</v>
      </c>
      <c r="H10" s="22">
        <v>8500000</v>
      </c>
      <c r="I10" s="23">
        <f t="shared" si="0"/>
        <v>8500000</v>
      </c>
    </row>
    <row r="11" spans="1:9" x14ac:dyDescent="0.25">
      <c r="A11" s="20">
        <v>45662</v>
      </c>
      <c r="B11" s="21" t="s">
        <v>39</v>
      </c>
      <c r="C11" s="21" t="s">
        <v>40</v>
      </c>
      <c r="D11" s="21" t="s">
        <v>21</v>
      </c>
      <c r="E11" s="21" t="s">
        <v>17</v>
      </c>
      <c r="F11" s="21" t="s">
        <v>28</v>
      </c>
      <c r="G11" s="21">
        <v>2</v>
      </c>
      <c r="H11" s="22">
        <v>350000</v>
      </c>
      <c r="I11" s="23">
        <f t="shared" si="0"/>
        <v>700000</v>
      </c>
    </row>
    <row r="12" spans="1:9" x14ac:dyDescent="0.25">
      <c r="A12" s="20">
        <v>45663</v>
      </c>
      <c r="B12" s="21" t="s">
        <v>41</v>
      </c>
      <c r="C12" s="21" t="s">
        <v>42</v>
      </c>
      <c r="D12" s="21" t="s">
        <v>25</v>
      </c>
      <c r="E12" s="21" t="s">
        <v>12</v>
      </c>
      <c r="F12" s="21" t="s">
        <v>22</v>
      </c>
      <c r="G12" s="21">
        <v>1</v>
      </c>
      <c r="H12" s="22">
        <v>2200000</v>
      </c>
      <c r="I12" s="23">
        <f t="shared" si="0"/>
        <v>2200000</v>
      </c>
    </row>
    <row r="13" spans="1:9" x14ac:dyDescent="0.25">
      <c r="A13" s="20">
        <v>45663</v>
      </c>
      <c r="B13" s="21" t="s">
        <v>43</v>
      </c>
      <c r="C13" s="21" t="s">
        <v>44</v>
      </c>
      <c r="D13" s="21" t="s">
        <v>31</v>
      </c>
      <c r="E13" s="21" t="s">
        <v>17</v>
      </c>
      <c r="F13" s="21" t="s">
        <v>13</v>
      </c>
      <c r="G13" s="21">
        <v>3</v>
      </c>
      <c r="H13" s="22">
        <v>450000</v>
      </c>
      <c r="I13" s="23">
        <f t="shared" si="0"/>
        <v>1350000</v>
      </c>
    </row>
    <row r="14" spans="1:9" x14ac:dyDescent="0.25">
      <c r="A14" s="20">
        <v>45664</v>
      </c>
      <c r="B14" s="21" t="s">
        <v>45</v>
      </c>
      <c r="C14" s="21" t="s">
        <v>46</v>
      </c>
      <c r="D14" s="21" t="s">
        <v>34</v>
      </c>
      <c r="E14" s="21" t="s">
        <v>12</v>
      </c>
      <c r="F14" s="21" t="s">
        <v>18</v>
      </c>
      <c r="G14" s="21">
        <v>1</v>
      </c>
      <c r="H14" s="22">
        <v>1800000</v>
      </c>
      <c r="I14" s="23">
        <f t="shared" si="0"/>
        <v>1800000</v>
      </c>
    </row>
    <row r="15" spans="1:9" x14ac:dyDescent="0.25">
      <c r="A15" s="20">
        <v>45664</v>
      </c>
      <c r="B15" s="21" t="s">
        <v>47</v>
      </c>
      <c r="C15" s="21" t="s">
        <v>48</v>
      </c>
      <c r="D15" s="21" t="s">
        <v>16</v>
      </c>
      <c r="E15" s="21" t="s">
        <v>17</v>
      </c>
      <c r="F15" s="21" t="s">
        <v>22</v>
      </c>
      <c r="G15" s="21">
        <v>4</v>
      </c>
      <c r="H15" s="22">
        <v>150000</v>
      </c>
      <c r="I15" s="23">
        <f t="shared" si="0"/>
        <v>600000</v>
      </c>
    </row>
    <row r="16" spans="1:9" x14ac:dyDescent="0.25">
      <c r="A16" s="24">
        <v>45665</v>
      </c>
      <c r="B16" s="25" t="s">
        <v>49</v>
      </c>
      <c r="C16" s="25" t="s">
        <v>50</v>
      </c>
      <c r="D16" s="25" t="s">
        <v>11</v>
      </c>
      <c r="E16" s="25" t="s">
        <v>12</v>
      </c>
      <c r="F16" s="25" t="s">
        <v>13</v>
      </c>
      <c r="G16" s="25">
        <v>1</v>
      </c>
      <c r="H16" s="26">
        <v>8500000</v>
      </c>
      <c r="I16" s="27">
        <f t="shared" si="0"/>
        <v>8500000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Pivot Table</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This PC</dc:creator>
  <cp:lastModifiedBy>This PC</cp:lastModifiedBy>
  <dcterms:created xsi:type="dcterms:W3CDTF">2026-01-10T07:15:14Z</dcterms:created>
  <dcterms:modified xsi:type="dcterms:W3CDTF">2026-01-11T06:28:17Z</dcterms:modified>
</cp:coreProperties>
</file>